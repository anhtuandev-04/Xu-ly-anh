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Xử lý ảnh\"/>
    </mc:Choice>
  </mc:AlternateContent>
  <xr:revisionPtr revIDLastSave="0" documentId="13_ncr:1_{0C151464-7D85-4926-9F25-2648BC33EC5A}" xr6:coauthVersionLast="47" xr6:coauthVersionMax="47" xr10:uidLastSave="{00000000-0000-0000-0000-000000000000}"/>
  <bookViews>
    <workbookView xWindow="-105" yWindow="0" windowWidth="13860" windowHeight="10905" xr2:uid="{149434D4-9CE9-4D90-8B9C-70F47D5C082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6" i="1" l="1"/>
  <c r="P151" i="1"/>
  <c r="O151" i="1"/>
  <c r="P139" i="1"/>
  <c r="Q139" i="1"/>
  <c r="R138" i="1"/>
  <c r="Q138" i="1"/>
  <c r="O139" i="1"/>
  <c r="P138" i="1"/>
  <c r="O138" i="1"/>
  <c r="Z26" i="1"/>
  <c r="Z27" i="1"/>
  <c r="Z28" i="1"/>
  <c r="Z29" i="1"/>
  <c r="Z30" i="1"/>
  <c r="Z31" i="1"/>
  <c r="E79" i="1"/>
  <c r="F52" i="1"/>
  <c r="G32" i="1"/>
  <c r="H32" i="1"/>
  <c r="I32" i="1"/>
  <c r="J32" i="1"/>
  <c r="G31" i="1"/>
  <c r="H31" i="1"/>
  <c r="I31" i="1"/>
  <c r="G30" i="1"/>
  <c r="H30" i="1"/>
  <c r="I30" i="1"/>
  <c r="J30" i="1"/>
  <c r="F32" i="1"/>
  <c r="F30" i="1"/>
  <c r="G29" i="1"/>
  <c r="H29" i="1"/>
  <c r="I29" i="1"/>
  <c r="F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26" authorId="0" shapeId="0" xr:uid="{058BF955-97E8-4260-8CE6-279F87F5990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 xr:uid="{7628E283-33F9-4606-8C88-76CEAA590264}">
      <text/>
    </comment>
  </commentList>
</comments>
</file>

<file path=xl/sharedStrings.xml><?xml version="1.0" encoding="utf-8"?>
<sst xmlns="http://schemas.openxmlformats.org/spreadsheetml/2006/main" count="162" uniqueCount="125">
  <si>
    <t>k</t>
  </si>
  <si>
    <t>vĩ dụ: tổ chức đồ của 1 ảnh mức xám</t>
  </si>
  <si>
    <t>h(k)</t>
  </si>
  <si>
    <t>g(x,y) = f(x,y) + c</t>
  </si>
  <si>
    <t>c = -2</t>
  </si>
  <si>
    <t>c = 12</t>
  </si>
  <si>
    <t>sáng ?</t>
  </si>
  <si>
    <t>tối ?</t>
  </si>
  <si>
    <t>f(x,y) =</t>
  </si>
  <si>
    <t>tính theo dòng/hàng dựa trên công thức g(x,y)</t>
  </si>
  <si>
    <t>ảnh 16 mức xám =&gt; 0 đến 15</t>
  </si>
  <si>
    <t>Kết quả c=12 👉🏽👉🏽</t>
  </si>
  <si>
    <t>Kết quả c= -2 👉🏽👉🏽</t>
  </si>
  <si>
    <t>nếu tính theo công thức mà nhỏ hơn 0 thì sẽ cắt nó về 0</t>
  </si>
  <si>
    <t>Tuổi</t>
  </si>
  <si>
    <t>Quê</t>
  </si>
  <si>
    <t>Vĩnh</t>
  </si>
  <si>
    <t>HG</t>
  </si>
  <si>
    <t>g(x,y) = f(x,y) * c</t>
  </si>
  <si>
    <t>c=0,8?</t>
  </si>
  <si>
    <t>c=3?</t>
  </si>
  <si>
    <t>Kết quả c= 3 👉🏽👉🏽</t>
  </si>
  <si>
    <t>Kết quả c=0.8👉🏽👉🏽</t>
  </si>
  <si>
    <t>Cải thiện độ tương phản: biến đổi tuy tính tổ chức đồ</t>
  </si>
  <si>
    <t>min[I(x,y)] = 2</t>
  </si>
  <si>
    <t>ax[I(x,y)] = 5</t>
  </si>
  <si>
    <t>Tính O(x,y)?</t>
  </si>
  <si>
    <t>I(1;1,2,3,4):</t>
  </si>
  <si>
    <t>KQ</t>
  </si>
  <si>
    <t>Nhân 9 vì đề cho 10 mức xám 0-&gt;9</t>
  </si>
  <si>
    <t xml:space="preserve">O(1,2) = (3-2/3)*9 = </t>
  </si>
  <si>
    <t xml:space="preserve">O(1,3) = (3-2/3)*9 = </t>
  </si>
  <si>
    <t xml:space="preserve">O(1,4) = (2-2/3)*9 = </t>
  </si>
  <si>
    <t xml:space="preserve">O(1,1) = (2-2/3)*9 = </t>
  </si>
  <si>
    <t>Ngạn</t>
  </si>
  <si>
    <t>KG</t>
  </si>
  <si>
    <t>Tuấn</t>
  </si>
  <si>
    <t>ĐT</t>
  </si>
  <si>
    <t>Tánh</t>
  </si>
  <si>
    <t>VL</t>
  </si>
  <si>
    <t>Vĩ</t>
  </si>
  <si>
    <t>TG</t>
  </si>
  <si>
    <t>Phúc</t>
  </si>
  <si>
    <t>KPI</t>
  </si>
  <si>
    <t>%</t>
  </si>
  <si>
    <t>Column1</t>
  </si>
  <si>
    <t>Column2</t>
  </si>
  <si>
    <t>Hai</t>
  </si>
  <si>
    <t>Ba</t>
  </si>
  <si>
    <t>Tư</t>
  </si>
  <si>
    <t>Năm</t>
  </si>
  <si>
    <t>Sáu</t>
  </si>
  <si>
    <t>Bảy</t>
  </si>
  <si>
    <t>CN</t>
  </si>
  <si>
    <t>Tổng</t>
  </si>
  <si>
    <t>Cân bằng tổ chức đồ</t>
  </si>
  <si>
    <t>x</t>
  </si>
  <si>
    <t>h(x)</t>
  </si>
  <si>
    <t>hn(x)</t>
  </si>
  <si>
    <t>Cn(x)</t>
  </si>
  <si>
    <t>O(x)</t>
  </si>
  <si>
    <t>Đề</t>
  </si>
  <si>
    <t>0/16</t>
  </si>
  <si>
    <t>16 là tổng số trong ô màu vàng</t>
  </si>
  <si>
    <t>GHI CHÚ:</t>
  </si>
  <si>
    <t>6/16</t>
  </si>
  <si>
    <t>5/1t6</t>
  </si>
  <si>
    <t>4/16</t>
  </si>
  <si>
    <t>1/16</t>
  </si>
  <si>
    <t>dòng này là cộng dồn từ từ</t>
  </si>
  <si>
    <t>11/16</t>
  </si>
  <si>
    <t>15/16</t>
  </si>
  <si>
    <t>16/16</t>
  </si>
  <si>
    <t>dòng này lấy chẵn</t>
  </si>
  <si>
    <t>1</t>
  </si>
  <si>
    <t>Cho ảnh I có 10 mức xám như bảng bên dới. Hãy sử dụng giải thuật cân bằng tự động độ tương phản của ảnh</t>
  </si>
  <si>
    <t>tần suất xuất hiện</t>
  </si>
  <si>
    <t>h(x)/25</t>
  </si>
  <si>
    <t>tần suất chuẩn hóa =</t>
  </si>
  <si>
    <t>hàm tích lủy chuẩn hóa =</t>
  </si>
  <si>
    <t>Mức xám mới =</t>
  </si>
  <si>
    <t>3/25</t>
  </si>
  <si>
    <t>4/25</t>
  </si>
  <si>
    <t>2/25</t>
  </si>
  <si>
    <t>1/25</t>
  </si>
  <si>
    <t>7/25</t>
  </si>
  <si>
    <t>10/25</t>
  </si>
  <si>
    <t>13/25</t>
  </si>
  <si>
    <t>16/25</t>
  </si>
  <si>
    <t>18/25</t>
  </si>
  <si>
    <t>20/25</t>
  </si>
  <si>
    <t>21/25</t>
  </si>
  <si>
    <t>24/25</t>
  </si>
  <si>
    <t>25/25</t>
  </si>
  <si>
    <t>Cn(x)*(L-1)</t>
  </si>
  <si>
    <t>L=10</t>
  </si>
  <si>
    <t>Tích Chập (convolution)</t>
  </si>
  <si>
    <t>*</t>
  </si>
  <si>
    <t>I</t>
  </si>
  <si>
    <t>M</t>
  </si>
  <si>
    <t>=</t>
  </si>
  <si>
    <t>1/9</t>
  </si>
  <si>
    <t>153</t>
  </si>
  <si>
    <t>74</t>
  </si>
  <si>
    <t>97</t>
  </si>
  <si>
    <t>122</t>
  </si>
  <si>
    <t>149</t>
  </si>
  <si>
    <t>72</t>
  </si>
  <si>
    <t>94</t>
  </si>
  <si>
    <t>118</t>
  </si>
  <si>
    <t>145</t>
  </si>
  <si>
    <t>70</t>
  </si>
  <si>
    <t>92</t>
  </si>
  <si>
    <t>114</t>
  </si>
  <si>
    <t>141</t>
  </si>
  <si>
    <t>Hạ Thông</t>
  </si>
  <si>
    <t>Thượng thông</t>
  </si>
  <si>
    <t>=(E150*1/9)+(F150*1/9)+(G150*1/9)+(E151*1/9)+(F151*1/9)+(G151*1/9)+(E152*1/9)+(F152*1/9)+(G152*1/9)</t>
  </si>
  <si>
    <t>Ảnh 1</t>
  </si>
  <si>
    <t>M1</t>
  </si>
  <si>
    <t>M2</t>
  </si>
  <si>
    <t>Câu 2:</t>
  </si>
  <si>
    <t>Cho ảnh 2 với 8 mức xám, hãy áp dụng giải thuật tuần tự đêr tiến hành tìm ngưỡng tự động với T khởi điểm = 1</t>
  </si>
  <si>
    <t>Dựa vào ngưỡng vừa tìm được, hãy tiến hành phân ngưỡng cho ảnh 2</t>
  </si>
  <si>
    <t>Ảnh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</si>
</sst>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2"/>
      <charset val="163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sz val="12"/>
      <color rgb="FF7030A0"/>
      <name val="Playbill"/>
      <family val="5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Times New Roman"/>
      <family val="2"/>
      <charset val="163"/>
    </font>
    <font>
      <b/>
      <sz val="12"/>
      <color theme="1"/>
      <name val="Times New Roman"/>
      <family val="2"/>
      <charset val="163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7" borderId="1" xfId="0" applyFill="1" applyBorder="1"/>
    <xf numFmtId="0" fontId="2" fillId="0" borderId="0" xfId="0" applyFont="1"/>
    <xf numFmtId="0" fontId="3" fillId="7" borderId="0" xfId="0" applyFont="1" applyFill="1"/>
    <xf numFmtId="0" fontId="3" fillId="0" borderId="0" xfId="0" applyFont="1"/>
    <xf numFmtId="0" fontId="4" fillId="0" borderId="0" xfId="0" applyFont="1"/>
    <xf numFmtId="0" fontId="0" fillId="8" borderId="1" xfId="0" applyFill="1" applyBorder="1"/>
    <xf numFmtId="0" fontId="0" fillId="0" borderId="0" xfId="0" applyAlignment="1">
      <alignment horizontal="right"/>
    </xf>
    <xf numFmtId="0" fontId="0" fillId="9" borderId="0" xfId="0" applyFill="1"/>
    <xf numFmtId="0" fontId="3" fillId="9" borderId="0" xfId="0" applyFont="1" applyFill="1"/>
    <xf numFmtId="0" fontId="0" fillId="10" borderId="1" xfId="0" applyFill="1" applyBorder="1"/>
    <xf numFmtId="0" fontId="6" fillId="0" borderId="0" xfId="0" applyFont="1"/>
    <xf numFmtId="0" fontId="6" fillId="0" borderId="0" xfId="0" applyFont="1" applyAlignment="1">
      <alignment horizontal="left"/>
    </xf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1" fillId="11" borderId="3" xfId="1" applyFill="1" applyBorder="1" applyAlignment="1">
      <alignment horizontal="center" vertical="center"/>
    </xf>
    <xf numFmtId="0" fontId="0" fillId="11" borderId="1" xfId="1" applyFont="1" applyFill="1" applyBorder="1" applyAlignment="1">
      <alignment horizontal="center" vertical="center"/>
    </xf>
    <xf numFmtId="0" fontId="1" fillId="11" borderId="1" xfId="1" applyFill="1" applyBorder="1" applyAlignment="1">
      <alignment horizontal="center" vertical="center"/>
    </xf>
    <xf numFmtId="0" fontId="1" fillId="11" borderId="4" xfId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8" xfId="1" applyFill="1" applyBorder="1" applyAlignment="1">
      <alignment horizontal="center" vertical="center"/>
    </xf>
    <xf numFmtId="0" fontId="1" fillId="11" borderId="2" xfId="1" applyFill="1" applyBorder="1" applyAlignment="1">
      <alignment horizontal="center" vertical="center"/>
    </xf>
    <xf numFmtId="0" fontId="1" fillId="11" borderId="9" xfId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7" fillId="2" borderId="5" xfId="1" applyFont="1" applyBorder="1" applyAlignment="1">
      <alignment horizontal="center" vertical="center"/>
    </xf>
    <xf numFmtId="0" fontId="7" fillId="2" borderId="6" xfId="1" applyFont="1" applyBorder="1" applyAlignment="1">
      <alignment horizontal="center" vertical="center"/>
    </xf>
    <xf numFmtId="0" fontId="7" fillId="2" borderId="7" xfId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0" fillId="10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49" fontId="0" fillId="0" borderId="1" xfId="0" applyNumberForma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0" fillId="0" borderId="0" xfId="0" applyFont="1"/>
    <xf numFmtId="0" fontId="2" fillId="1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5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17" borderId="1" xfId="0" applyFont="1" applyFill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color rgb="FF7030A0"/>
        <name val="Playbill"/>
        <family val="5"/>
        <scheme val="none"/>
      </font>
      <numFmt numFmtId="0" formatCode="General"/>
      <fill>
        <patternFill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200024</xdr:colOff>
      <xdr:row>25</xdr:row>
      <xdr:rowOff>161925</xdr:rowOff>
    </xdr:from>
    <xdr:to>
      <xdr:col>27</xdr:col>
      <xdr:colOff>380999</xdr:colOff>
      <xdr:row>27</xdr:row>
      <xdr:rowOff>38100</xdr:rowOff>
    </xdr:to>
    <xdr:sp macro="[0]!RectangleRoundedCorners1_Click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8E2691-0473-9185-2786-4093F88A7C7B}"/>
            </a:ext>
          </a:extLst>
        </xdr:cNvPr>
        <xdr:cNvSpPr/>
      </xdr:nvSpPr>
      <xdr:spPr>
        <a:xfrm>
          <a:off x="10487024" y="3962400"/>
          <a:ext cx="866775" cy="3333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Xóa All ❌</a:t>
          </a:r>
        </a:p>
      </xdr:txBody>
    </xdr:sp>
    <xdr:clientData/>
  </xdr:twoCellAnchor>
  <xdr:twoCellAnchor editAs="oneCell">
    <xdr:from>
      <xdr:col>8</xdr:col>
      <xdr:colOff>90054</xdr:colOff>
      <xdr:row>68</xdr:row>
      <xdr:rowOff>46327</xdr:rowOff>
    </xdr:from>
    <xdr:to>
      <xdr:col>12</xdr:col>
      <xdr:colOff>406853</xdr:colOff>
      <xdr:row>88</xdr:row>
      <xdr:rowOff>120485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66EE99-7758-564E-2B6F-ED6504F7A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2911" y="14306613"/>
          <a:ext cx="3038228" cy="48638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58C74-BF91-44E1-9677-289C0EF28266}" name="Table1" displayName="Table1" ref="M25:Z31" totalsRowShown="0" headerRowDxfId="18" dataDxfId="16" headerRowBorderDxfId="17" tableBorderDxfId="15" totalsRowBorderDxfId="14" headerRowCellStyle="20% - Accent1">
  <autoFilter ref="M25:Z31" xr:uid="{E0B58C74-BF91-44E1-9677-289C0EF28266}"/>
  <sortState xmlns:xlrd2="http://schemas.microsoft.com/office/spreadsheetml/2017/richdata2" ref="M26:P31">
    <sortCondition ref="M25:M31"/>
  </sortState>
  <tableColumns count="14">
    <tableColumn id="1" xr3:uid="{B3378E84-B89F-44F3-A084-CDE40E3D467A}" name="Column1" dataDxfId="13" dataCellStyle="20% - Accent1"/>
    <tableColumn id="2" xr3:uid="{CD88F4F7-18C1-46F5-B6E2-3A44B41E304A}" name="Column2" dataDxfId="12" dataCellStyle="20% - Accent1"/>
    <tableColumn id="3" xr3:uid="{DB27CE50-3E8D-4FF3-AA47-581D6122DB24}" name="Tuổi" dataDxfId="11" dataCellStyle="20% - Accent1"/>
    <tableColumn id="4" xr3:uid="{83AE70F0-1F3D-4528-87BC-C1FC493D10C1}" name="Quê" dataDxfId="10" dataCellStyle="20% - Accent1"/>
    <tableColumn id="12" xr3:uid="{A763D558-0114-456C-B005-F79CB1A447B3}" name="Hai" dataDxfId="9" dataCellStyle="20% - Accent1"/>
    <tableColumn id="11" xr3:uid="{2FFA34C1-3526-4445-BE37-C55730626A17}" name="Ba" dataDxfId="8" dataCellStyle="20% - Accent1"/>
    <tableColumn id="10" xr3:uid="{4DAC5614-6E37-413B-9EF0-89E3F6D7FC2A}" name="Tư" dataDxfId="7" dataCellStyle="20% - Accent1"/>
    <tableColumn id="9" xr3:uid="{31D6C4F1-5DBE-4DE3-8739-56FA32C39964}" name="Năm" dataDxfId="6" dataCellStyle="20% - Accent1"/>
    <tableColumn id="14" xr3:uid="{4640EF5B-1C1F-4ECE-B468-F38F8DEA5909}" name="Sáu" dataDxfId="5" dataCellStyle="20% - Accent1"/>
    <tableColumn id="13" xr3:uid="{18887961-1A5B-4980-9B2E-6E9322E0C572}" name="Bảy" dataDxfId="4" dataCellStyle="20% - Accent1"/>
    <tableColumn id="8" xr3:uid="{1BEB2644-57DC-4541-A189-50F2C8191D8E}" name="CN" dataDxfId="3" dataCellStyle="20% - Accent1"/>
    <tableColumn id="7" xr3:uid="{68DDAF6C-D22E-42B1-B16B-A65BBEEA8840}" name="Tổng" dataDxfId="2" dataCellStyle="20% - Accent1"/>
    <tableColumn id="5" xr3:uid="{EC0F18BD-EB24-4B7F-B4E1-5CE9CBE3C920}" name="KPI" dataDxfId="1"/>
    <tableColumn id="6" xr3:uid="{BCA8BC30-D6A2-4DE6-987A-D4D739552199}" name="%" dataDxfId="0">
      <calculatedColumnFormula>REPT("|",Table1[[#This Row],[KPI]])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F82A-EC22-4C33-883E-2C3E600F6B27}">
  <sheetPr codeName="Sheet1"/>
  <dimension ref="A1:Z190"/>
  <sheetViews>
    <sheetView tabSelected="1" topLeftCell="A176" zoomScale="70" zoomScaleNormal="70" workbookViewId="0">
      <selection activeCell="K195" sqref="K195"/>
    </sheetView>
  </sheetViews>
  <sheetFormatPr defaultRowHeight="15.75" x14ac:dyDescent="0.25"/>
  <cols>
    <col min="15" max="15" width="10" bestFit="1" customWidth="1"/>
    <col min="17" max="17" width="7.875" customWidth="1"/>
    <col min="18" max="18" width="12.875" customWidth="1"/>
    <col min="19" max="21" width="6.25" customWidth="1"/>
    <col min="22" max="22" width="5.875" customWidth="1"/>
    <col min="23" max="23" width="5.5" customWidth="1"/>
    <col min="24" max="24" width="10.375" customWidth="1"/>
    <col min="27" max="27" width="11.25" customWidth="1"/>
  </cols>
  <sheetData>
    <row r="1" spans="1:15" x14ac:dyDescent="0.25">
      <c r="A1" s="1">
        <v>0</v>
      </c>
      <c r="B1" s="1">
        <v>1</v>
      </c>
      <c r="C1" s="1">
        <v>1</v>
      </c>
      <c r="D1" s="1">
        <v>3</v>
      </c>
      <c r="E1" s="1">
        <v>5</v>
      </c>
      <c r="F1" s="1">
        <v>4</v>
      </c>
    </row>
    <row r="2" spans="1:15" x14ac:dyDescent="0.25">
      <c r="A2" s="1">
        <v>5</v>
      </c>
      <c r="B2" s="1">
        <v>1</v>
      </c>
      <c r="C2" s="1">
        <v>4</v>
      </c>
      <c r="D2" s="1">
        <v>7</v>
      </c>
      <c r="E2" s="1">
        <v>4</v>
      </c>
      <c r="F2" s="1">
        <v>6</v>
      </c>
    </row>
    <row r="3" spans="1:15" x14ac:dyDescent="0.25">
      <c r="A3" s="1">
        <v>3</v>
      </c>
      <c r="B3" s="1">
        <v>2</v>
      </c>
      <c r="C3" s="1">
        <v>1</v>
      </c>
      <c r="D3" s="1">
        <v>3</v>
      </c>
      <c r="E3" s="1">
        <v>2</v>
      </c>
      <c r="F3" s="1">
        <v>5</v>
      </c>
    </row>
    <row r="4" spans="1:15" x14ac:dyDescent="0.25">
      <c r="A4" s="1">
        <v>1</v>
      </c>
      <c r="B4" s="1">
        <v>3</v>
      </c>
      <c r="C4" s="1">
        <v>4</v>
      </c>
      <c r="D4" s="1">
        <v>5</v>
      </c>
      <c r="E4" s="1">
        <v>6</v>
      </c>
      <c r="F4" s="1">
        <v>7</v>
      </c>
    </row>
    <row r="5" spans="1:15" x14ac:dyDescent="0.25">
      <c r="A5" s="1">
        <v>0</v>
      </c>
      <c r="B5" s="1">
        <v>2</v>
      </c>
      <c r="C5" s="1">
        <v>3</v>
      </c>
      <c r="D5" s="1">
        <v>4</v>
      </c>
      <c r="E5" s="1">
        <v>3</v>
      </c>
      <c r="F5" s="1">
        <v>6</v>
      </c>
    </row>
    <row r="7" spans="1:15" x14ac:dyDescent="0.25">
      <c r="A7" t="s">
        <v>0</v>
      </c>
    </row>
    <row r="10" spans="1:15" x14ac:dyDescent="0.25">
      <c r="B10" t="s">
        <v>1</v>
      </c>
      <c r="J10">
        <v>7</v>
      </c>
    </row>
    <row r="11" spans="1:15" x14ac:dyDescent="0.25">
      <c r="J11">
        <v>6</v>
      </c>
      <c r="L11" s="3"/>
    </row>
    <row r="12" spans="1:15" x14ac:dyDescent="0.25">
      <c r="B12" s="1">
        <v>0</v>
      </c>
      <c r="C12" s="1">
        <v>1</v>
      </c>
      <c r="D12" s="1">
        <v>1</v>
      </c>
      <c r="E12" s="1">
        <v>2</v>
      </c>
      <c r="F12" s="1">
        <v>4</v>
      </c>
      <c r="J12">
        <v>5</v>
      </c>
      <c r="K12" s="2"/>
      <c r="L12" s="3"/>
      <c r="M12" s="4"/>
    </row>
    <row r="13" spans="1:15" x14ac:dyDescent="0.25">
      <c r="B13" s="1">
        <v>2</v>
      </c>
      <c r="C13" s="1">
        <v>1</v>
      </c>
      <c r="D13" s="1">
        <v>0</v>
      </c>
      <c r="E13" s="1">
        <v>0</v>
      </c>
      <c r="F13" s="1">
        <v>2</v>
      </c>
      <c r="J13">
        <v>4</v>
      </c>
      <c r="K13" s="2"/>
      <c r="L13" s="3"/>
      <c r="M13" s="4"/>
    </row>
    <row r="14" spans="1:15" x14ac:dyDescent="0.25">
      <c r="B14" s="1">
        <v>5</v>
      </c>
      <c r="C14" s="1">
        <v>2</v>
      </c>
      <c r="D14" s="1">
        <v>0</v>
      </c>
      <c r="E14" s="1">
        <v>0</v>
      </c>
      <c r="F14" s="1">
        <v>4</v>
      </c>
      <c r="J14">
        <v>3</v>
      </c>
      <c r="K14" s="2"/>
      <c r="L14" s="3"/>
      <c r="M14" s="4"/>
      <c r="O14" s="5"/>
    </row>
    <row r="15" spans="1:15" x14ac:dyDescent="0.25">
      <c r="B15" s="1">
        <v>1</v>
      </c>
      <c r="C15" s="1">
        <v>1</v>
      </c>
      <c r="D15" s="1">
        <v>2</v>
      </c>
      <c r="E15" s="1">
        <v>4</v>
      </c>
      <c r="F15" s="1">
        <v>1</v>
      </c>
      <c r="J15">
        <v>2</v>
      </c>
      <c r="K15" s="2"/>
      <c r="L15" s="3"/>
      <c r="M15" s="4"/>
      <c r="O15" s="5"/>
    </row>
    <row r="16" spans="1:15" x14ac:dyDescent="0.25">
      <c r="J16">
        <v>1</v>
      </c>
      <c r="K16" s="2"/>
      <c r="L16" s="3"/>
      <c r="M16" s="4"/>
      <c r="O16" s="5"/>
    </row>
    <row r="17" spans="2:26" x14ac:dyDescent="0.25">
      <c r="B17" s="1" t="s">
        <v>0</v>
      </c>
      <c r="C17" s="1">
        <v>0</v>
      </c>
      <c r="D17" s="1">
        <v>1</v>
      </c>
      <c r="E17" s="1">
        <v>2</v>
      </c>
      <c r="F17" s="1">
        <v>3</v>
      </c>
      <c r="G17" s="1">
        <v>4</v>
      </c>
      <c r="H17" s="1">
        <v>5</v>
      </c>
      <c r="J17">
        <v>0</v>
      </c>
      <c r="K17" s="2"/>
      <c r="L17" s="3"/>
      <c r="M17" s="4"/>
      <c r="O17" s="5"/>
    </row>
    <row r="18" spans="2:26" x14ac:dyDescent="0.25">
      <c r="B18" s="1" t="s">
        <v>2</v>
      </c>
      <c r="C18" s="1">
        <v>5</v>
      </c>
      <c r="D18" s="1">
        <v>6</v>
      </c>
      <c r="E18" s="1">
        <v>5</v>
      </c>
      <c r="F18" s="1">
        <v>0</v>
      </c>
      <c r="G18" s="1">
        <v>3</v>
      </c>
      <c r="H18" s="1">
        <v>1</v>
      </c>
      <c r="K18">
        <v>0</v>
      </c>
      <c r="L18">
        <v>1</v>
      </c>
      <c r="M18">
        <v>2</v>
      </c>
      <c r="N18">
        <v>3</v>
      </c>
      <c r="O18">
        <v>4</v>
      </c>
      <c r="P18">
        <v>5</v>
      </c>
    </row>
    <row r="21" spans="2:26" ht="20.25" x14ac:dyDescent="0.3">
      <c r="B21" s="9" t="s">
        <v>3</v>
      </c>
      <c r="C21" s="9"/>
      <c r="D21" s="9"/>
      <c r="F21" s="10" t="s">
        <v>10</v>
      </c>
      <c r="G21" s="10"/>
      <c r="H21" s="10"/>
    </row>
    <row r="23" spans="2:26" x14ac:dyDescent="0.25">
      <c r="B23" s="6">
        <v>0</v>
      </c>
      <c r="C23" s="6">
        <v>1</v>
      </c>
      <c r="D23" s="6">
        <v>1</v>
      </c>
      <c r="E23" s="6">
        <v>2</v>
      </c>
      <c r="F23" s="6">
        <v>4</v>
      </c>
      <c r="H23" s="13" t="s">
        <v>8</v>
      </c>
      <c r="I23" s="5"/>
    </row>
    <row r="24" spans="2:26" x14ac:dyDescent="0.25">
      <c r="B24" s="6">
        <v>2</v>
      </c>
      <c r="C24" s="6">
        <v>1</v>
      </c>
      <c r="D24" s="6">
        <v>0</v>
      </c>
      <c r="E24" s="6">
        <v>0</v>
      </c>
      <c r="F24" s="6">
        <v>2</v>
      </c>
    </row>
    <row r="25" spans="2:26" x14ac:dyDescent="0.25">
      <c r="B25" s="6">
        <v>5</v>
      </c>
      <c r="C25" s="6">
        <v>2</v>
      </c>
      <c r="D25" s="6">
        <v>0</v>
      </c>
      <c r="E25" s="6">
        <v>0</v>
      </c>
      <c r="F25" s="6">
        <v>4</v>
      </c>
      <c r="M25" s="30" t="s">
        <v>45</v>
      </c>
      <c r="N25" s="31" t="s">
        <v>46</v>
      </c>
      <c r="O25" s="31" t="s">
        <v>14</v>
      </c>
      <c r="P25" s="32" t="s">
        <v>15</v>
      </c>
      <c r="Q25" s="32" t="s">
        <v>47</v>
      </c>
      <c r="R25" s="32" t="s">
        <v>48</v>
      </c>
      <c r="S25" s="32" t="s">
        <v>49</v>
      </c>
      <c r="T25" s="32" t="s">
        <v>50</v>
      </c>
      <c r="U25" s="32" t="s">
        <v>51</v>
      </c>
      <c r="V25" s="32" t="s">
        <v>52</v>
      </c>
      <c r="W25" s="32" t="s">
        <v>53</v>
      </c>
      <c r="X25" s="32" t="s">
        <v>54</v>
      </c>
      <c r="Y25" s="31" t="s">
        <v>43</v>
      </c>
      <c r="Z25" s="31" t="s">
        <v>44</v>
      </c>
    </row>
    <row r="26" spans="2:26" x14ac:dyDescent="0.25">
      <c r="B26" s="6">
        <v>1</v>
      </c>
      <c r="C26" s="6">
        <v>1</v>
      </c>
      <c r="D26" s="6">
        <v>2</v>
      </c>
      <c r="E26" s="6">
        <v>4</v>
      </c>
      <c r="F26" s="6">
        <v>1</v>
      </c>
      <c r="M26" s="21">
        <v>1</v>
      </c>
      <c r="N26" s="22" t="s">
        <v>16</v>
      </c>
      <c r="O26" s="23">
        <v>21</v>
      </c>
      <c r="P26" s="24" t="s">
        <v>17</v>
      </c>
      <c r="Q26" s="24"/>
      <c r="R26" s="24"/>
      <c r="S26" s="24"/>
      <c r="T26" s="24"/>
      <c r="U26" s="24"/>
      <c r="V26" s="24"/>
      <c r="W26" s="24"/>
      <c r="X26" s="24"/>
      <c r="Y26" s="25">
        <v>23</v>
      </c>
      <c r="Z26" s="29" t="str">
        <f>REPT("|",Table1[[#This Row],[KPI]])</f>
        <v>|||||||||||||||||||||||</v>
      </c>
    </row>
    <row r="27" spans="2:26" x14ac:dyDescent="0.25">
      <c r="M27" s="21">
        <v>2</v>
      </c>
      <c r="N27" s="22" t="s">
        <v>34</v>
      </c>
      <c r="O27" s="23">
        <v>21</v>
      </c>
      <c r="P27" s="24" t="s">
        <v>35</v>
      </c>
      <c r="Q27" s="24"/>
      <c r="R27" s="24"/>
      <c r="S27" s="24"/>
      <c r="T27" s="24"/>
      <c r="U27" s="24"/>
      <c r="V27" s="24"/>
      <c r="W27" s="24"/>
      <c r="X27" s="24"/>
      <c r="Y27" s="25">
        <v>17</v>
      </c>
      <c r="Z27" s="29" t="str">
        <f>REPT("|",Table1[[#This Row],[KPI]])</f>
        <v>|||||||||||||||||</v>
      </c>
    </row>
    <row r="28" spans="2:26" ht="15.75" customHeight="1" x14ac:dyDescent="0.3">
      <c r="B28" t="s">
        <v>4</v>
      </c>
      <c r="D28" s="10" t="s">
        <v>9</v>
      </c>
      <c r="E28" s="10"/>
      <c r="F28" s="10"/>
      <c r="G28" s="10"/>
      <c r="H28" s="11"/>
      <c r="M28" s="21">
        <v>3</v>
      </c>
      <c r="N28" s="22" t="s">
        <v>36</v>
      </c>
      <c r="O28" s="23">
        <v>20</v>
      </c>
      <c r="P28" s="24" t="s">
        <v>37</v>
      </c>
      <c r="Q28" s="24"/>
      <c r="R28" s="24"/>
      <c r="S28" s="24"/>
      <c r="T28" s="24"/>
      <c r="U28" s="24"/>
      <c r="V28" s="24"/>
      <c r="W28" s="24"/>
      <c r="X28" s="24"/>
      <c r="Y28" s="25">
        <v>12</v>
      </c>
      <c r="Z28" s="29" t="str">
        <f>REPT("|",Table1[[#This Row],[KPI]])</f>
        <v>||||||||||||</v>
      </c>
    </row>
    <row r="29" spans="2:26" x14ac:dyDescent="0.25">
      <c r="B29" t="s">
        <v>5</v>
      </c>
      <c r="D29" s="8" t="s">
        <v>11</v>
      </c>
      <c r="E29" s="8"/>
      <c r="F29" s="7">
        <f t="shared" ref="F29:I30" si="0">B23+12</f>
        <v>12</v>
      </c>
      <c r="G29" s="7">
        <f t="shared" si="0"/>
        <v>13</v>
      </c>
      <c r="H29" s="7">
        <f t="shared" si="0"/>
        <v>13</v>
      </c>
      <c r="I29" s="7">
        <f t="shared" si="0"/>
        <v>14</v>
      </c>
      <c r="J29" s="7">
        <v>15</v>
      </c>
      <c r="M29" s="21">
        <v>4</v>
      </c>
      <c r="N29" s="23" t="s">
        <v>38</v>
      </c>
      <c r="O29" s="23">
        <v>21</v>
      </c>
      <c r="P29" s="24" t="s">
        <v>39</v>
      </c>
      <c r="Q29" s="24"/>
      <c r="R29" s="24"/>
      <c r="S29" s="24"/>
      <c r="T29" s="24"/>
      <c r="U29" s="24"/>
      <c r="V29" s="24"/>
      <c r="W29" s="24"/>
      <c r="X29" s="24"/>
      <c r="Y29" s="25">
        <v>30</v>
      </c>
      <c r="Z29" s="29" t="str">
        <f>REPT("|",Table1[[#This Row],[KPI]])</f>
        <v>||||||||||||||||||||||||||||||</v>
      </c>
    </row>
    <row r="30" spans="2:26" x14ac:dyDescent="0.25">
      <c r="B30" t="s">
        <v>6</v>
      </c>
      <c r="F30" s="7">
        <f t="shared" si="0"/>
        <v>14</v>
      </c>
      <c r="G30" s="7">
        <f t="shared" si="0"/>
        <v>13</v>
      </c>
      <c r="H30" s="7">
        <f t="shared" si="0"/>
        <v>12</v>
      </c>
      <c r="I30" s="7">
        <f t="shared" si="0"/>
        <v>12</v>
      </c>
      <c r="J30" s="7">
        <f>F24+12</f>
        <v>14</v>
      </c>
      <c r="M30" s="21">
        <v>5</v>
      </c>
      <c r="N30" s="23" t="s">
        <v>40</v>
      </c>
      <c r="O30" s="23">
        <v>21</v>
      </c>
      <c r="P30" s="24" t="s">
        <v>41</v>
      </c>
      <c r="Q30" s="24"/>
      <c r="R30" s="24"/>
      <c r="S30" s="24"/>
      <c r="T30" s="24"/>
      <c r="U30" s="24"/>
      <c r="V30" s="24"/>
      <c r="W30" s="24"/>
      <c r="X30" s="24"/>
      <c r="Y30" s="25">
        <v>15</v>
      </c>
      <c r="Z30" s="29" t="str">
        <f>REPT("|",Table1[[#This Row],[KPI]])</f>
        <v>|||||||||||||||</v>
      </c>
    </row>
    <row r="31" spans="2:26" x14ac:dyDescent="0.25">
      <c r="B31" t="s">
        <v>7</v>
      </c>
      <c r="F31" s="7">
        <v>15</v>
      </c>
      <c r="G31" s="7">
        <f t="shared" ref="G31:I32" si="1">C25+12</f>
        <v>14</v>
      </c>
      <c r="H31" s="7">
        <f t="shared" si="1"/>
        <v>12</v>
      </c>
      <c r="I31" s="7">
        <f t="shared" si="1"/>
        <v>12</v>
      </c>
      <c r="J31" s="7">
        <v>15</v>
      </c>
      <c r="M31" s="26">
        <v>6</v>
      </c>
      <c r="N31" s="27" t="s">
        <v>42</v>
      </c>
      <c r="O31" s="27">
        <v>21</v>
      </c>
      <c r="P31" s="28" t="s">
        <v>37</v>
      </c>
      <c r="Q31" s="28"/>
      <c r="R31" s="28"/>
      <c r="S31" s="28"/>
      <c r="T31" s="28"/>
      <c r="U31" s="28"/>
      <c r="V31" s="28"/>
      <c r="W31" s="28"/>
      <c r="X31" s="28"/>
      <c r="Y31" s="25">
        <v>23</v>
      </c>
      <c r="Z31" s="29" t="str">
        <f>REPT("|",Table1[[#This Row],[KPI]])</f>
        <v>|||||||||||||||||||||||</v>
      </c>
    </row>
    <row r="32" spans="2:26" x14ac:dyDescent="0.25">
      <c r="F32" s="7">
        <f>B26+12</f>
        <v>13</v>
      </c>
      <c r="G32" s="7">
        <f t="shared" si="1"/>
        <v>13</v>
      </c>
      <c r="H32" s="7">
        <f t="shared" si="1"/>
        <v>14</v>
      </c>
      <c r="I32" s="7">
        <f t="shared" si="1"/>
        <v>16</v>
      </c>
      <c r="J32" s="7">
        <f>F26+12</f>
        <v>13</v>
      </c>
    </row>
    <row r="34" spans="2:10" ht="20.25" x14ac:dyDescent="0.3">
      <c r="D34" s="10" t="s">
        <v>13</v>
      </c>
    </row>
    <row r="35" spans="2:10" x14ac:dyDescent="0.25">
      <c r="D35" s="8" t="s">
        <v>12</v>
      </c>
      <c r="E35" s="8"/>
      <c r="F35" s="12">
        <v>0</v>
      </c>
      <c r="G35" s="12">
        <v>0</v>
      </c>
      <c r="H35" s="12">
        <v>0</v>
      </c>
      <c r="I35" s="12">
        <v>0</v>
      </c>
      <c r="J35" s="12">
        <v>2</v>
      </c>
    </row>
    <row r="36" spans="2:10" x14ac:dyDescent="0.25">
      <c r="F36" s="12">
        <v>0</v>
      </c>
      <c r="G36" s="12">
        <v>0</v>
      </c>
      <c r="H36" s="12">
        <v>0</v>
      </c>
      <c r="I36" s="12">
        <v>0</v>
      </c>
      <c r="J36" s="12">
        <v>0</v>
      </c>
    </row>
    <row r="37" spans="2:10" x14ac:dyDescent="0.25">
      <c r="F37" s="12">
        <v>3</v>
      </c>
      <c r="G37" s="12">
        <v>0</v>
      </c>
      <c r="H37" s="12">
        <v>0</v>
      </c>
      <c r="I37" s="12">
        <v>0</v>
      </c>
      <c r="J37" s="12">
        <v>2</v>
      </c>
    </row>
    <row r="38" spans="2:10" x14ac:dyDescent="0.25">
      <c r="F38" s="12">
        <v>0</v>
      </c>
      <c r="G38" s="12">
        <v>0</v>
      </c>
      <c r="H38" s="12">
        <v>0</v>
      </c>
      <c r="I38" s="12">
        <v>2</v>
      </c>
      <c r="J38" s="12">
        <v>0</v>
      </c>
    </row>
    <row r="43" spans="2:10" ht="20.25" x14ac:dyDescent="0.3">
      <c r="B43" s="15" t="s">
        <v>18</v>
      </c>
      <c r="C43" s="15"/>
      <c r="D43" s="14"/>
    </row>
    <row r="45" spans="2:10" x14ac:dyDescent="0.25">
      <c r="B45" s="6">
        <v>0</v>
      </c>
      <c r="C45" s="6">
        <v>1</v>
      </c>
      <c r="D45" s="6">
        <v>1</v>
      </c>
      <c r="E45" s="6">
        <v>2</v>
      </c>
      <c r="F45" s="6">
        <v>4</v>
      </c>
    </row>
    <row r="46" spans="2:10" x14ac:dyDescent="0.25">
      <c r="B46" s="6">
        <v>2</v>
      </c>
      <c r="C46" s="6">
        <v>1</v>
      </c>
      <c r="D46" s="6">
        <v>0</v>
      </c>
      <c r="E46" s="6">
        <v>0</v>
      </c>
      <c r="F46" s="6">
        <v>2</v>
      </c>
    </row>
    <row r="47" spans="2:10" x14ac:dyDescent="0.25">
      <c r="B47" s="6">
        <v>5</v>
      </c>
      <c r="C47" s="6">
        <v>2</v>
      </c>
      <c r="D47" s="6">
        <v>0</v>
      </c>
      <c r="E47" s="6">
        <v>0</v>
      </c>
      <c r="F47" s="6">
        <v>4</v>
      </c>
    </row>
    <row r="48" spans="2:10" x14ac:dyDescent="0.25">
      <c r="B48" s="6">
        <v>1</v>
      </c>
      <c r="C48" s="6">
        <v>1</v>
      </c>
      <c r="D48" s="6">
        <v>2</v>
      </c>
      <c r="E48" s="6">
        <v>4</v>
      </c>
      <c r="F48" s="6">
        <v>1</v>
      </c>
    </row>
    <row r="51" spans="2:10" ht="20.25" x14ac:dyDescent="0.3">
      <c r="B51" t="s">
        <v>19</v>
      </c>
      <c r="D51" s="10" t="s">
        <v>9</v>
      </c>
      <c r="E51" s="10"/>
      <c r="F51" s="10"/>
      <c r="G51" s="10"/>
      <c r="H51" s="11"/>
    </row>
    <row r="52" spans="2:10" x14ac:dyDescent="0.25">
      <c r="B52" t="s">
        <v>20</v>
      </c>
      <c r="D52" s="8" t="s">
        <v>22</v>
      </c>
      <c r="E52" s="8"/>
      <c r="F52" s="7">
        <f>B45*0.8</f>
        <v>0</v>
      </c>
      <c r="G52" s="7">
        <v>1</v>
      </c>
      <c r="H52" s="7">
        <v>1</v>
      </c>
      <c r="I52" s="7">
        <v>2</v>
      </c>
      <c r="J52" s="7">
        <v>3</v>
      </c>
    </row>
    <row r="53" spans="2:10" x14ac:dyDescent="0.25">
      <c r="F53" s="7">
        <v>2</v>
      </c>
      <c r="G53" s="7">
        <v>1</v>
      </c>
      <c r="H53" s="7">
        <v>0</v>
      </c>
      <c r="I53" s="7">
        <v>0</v>
      </c>
      <c r="J53" s="7">
        <v>2</v>
      </c>
    </row>
    <row r="54" spans="2:10" x14ac:dyDescent="0.25">
      <c r="F54" s="7">
        <v>4</v>
      </c>
      <c r="G54" s="7">
        <v>2</v>
      </c>
      <c r="H54" s="7">
        <v>0</v>
      </c>
      <c r="I54" s="7">
        <v>0</v>
      </c>
      <c r="J54" s="7">
        <v>3</v>
      </c>
    </row>
    <row r="55" spans="2:10" x14ac:dyDescent="0.25">
      <c r="F55" s="7">
        <v>1</v>
      </c>
      <c r="G55" s="7">
        <v>1</v>
      </c>
      <c r="H55" s="7">
        <v>2</v>
      </c>
      <c r="I55" s="7">
        <v>3</v>
      </c>
      <c r="J55" s="7">
        <v>1</v>
      </c>
    </row>
    <row r="57" spans="2:10" ht="20.25" x14ac:dyDescent="0.3">
      <c r="D57" s="10" t="s">
        <v>13</v>
      </c>
    </row>
    <row r="58" spans="2:10" x14ac:dyDescent="0.25">
      <c r="D58" s="8" t="s">
        <v>21</v>
      </c>
      <c r="E58" s="8"/>
      <c r="F58" s="12">
        <v>0</v>
      </c>
      <c r="G58" s="12">
        <v>3</v>
      </c>
      <c r="H58" s="12">
        <v>3</v>
      </c>
      <c r="I58" s="12">
        <v>6</v>
      </c>
      <c r="J58" s="12">
        <v>2</v>
      </c>
    </row>
    <row r="59" spans="2:10" x14ac:dyDescent="0.25">
      <c r="F59" s="12">
        <v>6</v>
      </c>
      <c r="G59" s="12">
        <v>3</v>
      </c>
      <c r="H59" s="12">
        <v>0</v>
      </c>
      <c r="I59" s="12">
        <v>0</v>
      </c>
      <c r="J59" s="12">
        <v>6</v>
      </c>
    </row>
    <row r="60" spans="2:10" x14ac:dyDescent="0.25">
      <c r="F60" s="12">
        <v>15</v>
      </c>
      <c r="G60" s="12">
        <v>6</v>
      </c>
      <c r="H60" s="12">
        <v>0</v>
      </c>
      <c r="I60" s="12">
        <v>0</v>
      </c>
      <c r="J60" s="12">
        <v>12</v>
      </c>
    </row>
    <row r="61" spans="2:10" x14ac:dyDescent="0.25">
      <c r="F61" s="12">
        <v>3</v>
      </c>
      <c r="G61" s="12">
        <v>3</v>
      </c>
      <c r="H61" s="12">
        <v>6</v>
      </c>
      <c r="I61" s="12">
        <v>12</v>
      </c>
      <c r="J61" s="12">
        <v>3</v>
      </c>
    </row>
    <row r="68" spans="2:5" ht="20.25" x14ac:dyDescent="0.3">
      <c r="B68" s="10" t="s">
        <v>23</v>
      </c>
    </row>
    <row r="69" spans="2:5" x14ac:dyDescent="0.25">
      <c r="B69" s="16">
        <v>2</v>
      </c>
      <c r="C69" s="16">
        <v>3</v>
      </c>
      <c r="D69" s="16">
        <v>3</v>
      </c>
      <c r="E69" s="16">
        <v>2</v>
      </c>
    </row>
    <row r="70" spans="2:5" x14ac:dyDescent="0.25">
      <c r="B70" s="16">
        <v>4</v>
      </c>
      <c r="C70" s="16">
        <v>2</v>
      </c>
      <c r="D70" s="16">
        <v>4</v>
      </c>
      <c r="E70" s="16">
        <v>3</v>
      </c>
    </row>
    <row r="71" spans="2:5" x14ac:dyDescent="0.25">
      <c r="B71" s="16">
        <v>3</v>
      </c>
      <c r="C71" s="16">
        <v>2</v>
      </c>
      <c r="D71" s="16">
        <v>3</v>
      </c>
      <c r="E71" s="16">
        <v>5</v>
      </c>
    </row>
    <row r="72" spans="2:5" x14ac:dyDescent="0.25">
      <c r="B72" s="16">
        <v>2</v>
      </c>
      <c r="C72" s="16">
        <v>4</v>
      </c>
      <c r="D72" s="16">
        <v>2</v>
      </c>
      <c r="E72" s="16">
        <v>4</v>
      </c>
    </row>
    <row r="74" spans="2:5" ht="20.25" x14ac:dyDescent="0.3">
      <c r="B74" s="17" t="s">
        <v>24</v>
      </c>
      <c r="C74" s="17"/>
      <c r="D74" s="17"/>
    </row>
    <row r="75" spans="2:5" ht="20.25" x14ac:dyDescent="0.3">
      <c r="B75" s="17" t="s">
        <v>25</v>
      </c>
      <c r="C75" s="17"/>
      <c r="D75" s="17"/>
    </row>
    <row r="76" spans="2:5" ht="20.25" x14ac:dyDescent="0.3">
      <c r="B76" s="17"/>
      <c r="C76" s="17"/>
      <c r="D76" s="17"/>
    </row>
    <row r="77" spans="2:5" ht="20.25" x14ac:dyDescent="0.3">
      <c r="B77" s="17" t="s">
        <v>26</v>
      </c>
      <c r="C77" s="17"/>
      <c r="D77" s="17" t="s">
        <v>29</v>
      </c>
    </row>
    <row r="78" spans="2:5" ht="20.25" x14ac:dyDescent="0.3">
      <c r="B78" s="17" t="s">
        <v>27</v>
      </c>
      <c r="C78" s="17"/>
      <c r="D78" s="17"/>
    </row>
    <row r="79" spans="2:5" ht="20.25" x14ac:dyDescent="0.3">
      <c r="B79" s="18" t="s">
        <v>33</v>
      </c>
      <c r="C79" s="18"/>
      <c r="D79" s="18"/>
      <c r="E79" s="18">
        <f>((B69-2)/3)*9</f>
        <v>0</v>
      </c>
    </row>
    <row r="80" spans="2:5" ht="20.25" x14ac:dyDescent="0.3">
      <c r="B80" s="18" t="s">
        <v>30</v>
      </c>
      <c r="C80" s="18"/>
      <c r="D80" s="18"/>
      <c r="E80" s="18">
        <v>3</v>
      </c>
    </row>
    <row r="81" spans="1:5" ht="20.25" x14ac:dyDescent="0.3">
      <c r="B81" s="18" t="s">
        <v>31</v>
      </c>
      <c r="C81" s="18"/>
      <c r="D81" s="18"/>
      <c r="E81" s="18">
        <v>3</v>
      </c>
    </row>
    <row r="82" spans="1:5" ht="20.25" x14ac:dyDescent="0.3">
      <c r="B82" s="18" t="s">
        <v>32</v>
      </c>
      <c r="C82" s="18"/>
      <c r="D82" s="18"/>
      <c r="E82" s="18">
        <v>0</v>
      </c>
    </row>
    <row r="83" spans="1:5" ht="20.25" x14ac:dyDescent="0.3">
      <c r="A83" s="13" t="s">
        <v>28</v>
      </c>
      <c r="B83" s="19">
        <v>0</v>
      </c>
      <c r="C83" s="19">
        <v>3</v>
      </c>
      <c r="D83" s="19">
        <v>3</v>
      </c>
      <c r="E83" s="19">
        <v>0</v>
      </c>
    </row>
    <row r="84" spans="1:5" ht="20.25" x14ac:dyDescent="0.3">
      <c r="B84" s="19">
        <v>6</v>
      </c>
      <c r="C84" s="19">
        <v>0</v>
      </c>
      <c r="D84" s="19">
        <v>6</v>
      </c>
      <c r="E84" s="19">
        <v>3</v>
      </c>
    </row>
    <row r="85" spans="1:5" ht="20.25" x14ac:dyDescent="0.3">
      <c r="B85" s="19">
        <v>3</v>
      </c>
      <c r="C85" s="19">
        <v>0</v>
      </c>
      <c r="D85" s="19">
        <v>3</v>
      </c>
      <c r="E85" s="19">
        <v>9</v>
      </c>
    </row>
    <row r="86" spans="1:5" ht="20.25" x14ac:dyDescent="0.3">
      <c r="B86" s="19">
        <v>0</v>
      </c>
      <c r="C86" s="19">
        <v>6</v>
      </c>
      <c r="D86" s="19">
        <v>0</v>
      </c>
      <c r="E86" s="19">
        <v>6</v>
      </c>
    </row>
    <row r="93" spans="1:5" s="8" customFormat="1" x14ac:dyDescent="0.25"/>
    <row r="99" spans="2:16" x14ac:dyDescent="0.25">
      <c r="B99" s="8"/>
      <c r="C99" s="8" t="s">
        <v>61</v>
      </c>
      <c r="D99" s="8"/>
      <c r="E99" s="8"/>
      <c r="F99" s="8"/>
      <c r="G99" s="8"/>
    </row>
    <row r="100" spans="2:16" ht="25.5" x14ac:dyDescent="0.35">
      <c r="C100" s="35">
        <v>2</v>
      </c>
      <c r="D100" s="35">
        <v>3</v>
      </c>
      <c r="E100" s="35">
        <v>3</v>
      </c>
      <c r="F100" s="35">
        <v>2</v>
      </c>
    </row>
    <row r="101" spans="2:16" ht="25.5" x14ac:dyDescent="0.35">
      <c r="C101" s="35">
        <v>4</v>
      </c>
      <c r="D101" s="35">
        <v>2</v>
      </c>
      <c r="E101" s="35">
        <v>4</v>
      </c>
      <c r="F101" s="35">
        <v>3</v>
      </c>
    </row>
    <row r="102" spans="2:16" ht="25.5" x14ac:dyDescent="0.35">
      <c r="C102" s="35">
        <v>3</v>
      </c>
      <c r="D102" s="35">
        <v>2</v>
      </c>
      <c r="E102" s="35">
        <v>3</v>
      </c>
      <c r="F102" s="35">
        <v>5</v>
      </c>
    </row>
    <row r="103" spans="2:16" ht="25.5" x14ac:dyDescent="0.35">
      <c r="C103" s="35">
        <v>2</v>
      </c>
      <c r="D103" s="35">
        <v>4</v>
      </c>
      <c r="E103" s="35">
        <v>2</v>
      </c>
      <c r="F103" s="35">
        <v>4</v>
      </c>
    </row>
    <row r="106" spans="2:16" x14ac:dyDescent="0.25">
      <c r="B106" s="8" t="s">
        <v>55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2:16" ht="18.75" x14ac:dyDescent="0.3">
      <c r="B107" s="33" t="s">
        <v>56</v>
      </c>
      <c r="C107" s="33">
        <v>0</v>
      </c>
      <c r="D107" s="33">
        <v>1</v>
      </c>
      <c r="E107" s="33">
        <v>2</v>
      </c>
      <c r="F107" s="33">
        <v>3</v>
      </c>
      <c r="G107" s="33">
        <v>4</v>
      </c>
      <c r="H107" s="33">
        <v>5</v>
      </c>
      <c r="I107" s="33">
        <v>6</v>
      </c>
      <c r="J107" s="33">
        <v>7</v>
      </c>
      <c r="K107" s="33">
        <v>8</v>
      </c>
      <c r="L107" s="33">
        <v>9</v>
      </c>
      <c r="N107" s="37" t="s">
        <v>64</v>
      </c>
      <c r="O107" s="37"/>
      <c r="P107" s="37"/>
    </row>
    <row r="108" spans="2:16" ht="18.75" x14ac:dyDescent="0.3">
      <c r="B108" s="34" t="s">
        <v>57</v>
      </c>
      <c r="C108" s="20">
        <v>0</v>
      </c>
      <c r="D108" s="20">
        <v>0</v>
      </c>
      <c r="E108" s="36">
        <v>6</v>
      </c>
      <c r="F108" s="36">
        <v>5</v>
      </c>
      <c r="G108" s="36">
        <v>4</v>
      </c>
      <c r="H108" s="36">
        <v>1</v>
      </c>
      <c r="I108" s="20">
        <v>0</v>
      </c>
      <c r="J108" s="20">
        <v>0</v>
      </c>
      <c r="K108" s="20">
        <v>0</v>
      </c>
      <c r="L108" s="20">
        <v>0</v>
      </c>
      <c r="N108" s="37" t="s">
        <v>63</v>
      </c>
      <c r="O108" s="37"/>
      <c r="P108" s="37"/>
    </row>
    <row r="109" spans="2:16" x14ac:dyDescent="0.25">
      <c r="B109" s="34" t="s">
        <v>58</v>
      </c>
      <c r="C109" s="38" t="s">
        <v>62</v>
      </c>
      <c r="D109" s="38" t="s">
        <v>62</v>
      </c>
      <c r="E109" s="38" t="s">
        <v>65</v>
      </c>
      <c r="F109" s="38" t="s">
        <v>66</v>
      </c>
      <c r="G109" s="38" t="s">
        <v>67</v>
      </c>
      <c r="H109" s="38" t="s">
        <v>68</v>
      </c>
      <c r="I109" s="38">
        <v>0</v>
      </c>
      <c r="J109" s="38">
        <v>0</v>
      </c>
      <c r="K109" s="38">
        <v>0</v>
      </c>
      <c r="L109" s="38">
        <v>0</v>
      </c>
    </row>
    <row r="110" spans="2:16" x14ac:dyDescent="0.25">
      <c r="B110" s="34" t="s">
        <v>59</v>
      </c>
      <c r="C110" s="20" t="s">
        <v>62</v>
      </c>
      <c r="D110" s="20" t="s">
        <v>62</v>
      </c>
      <c r="E110" s="38" t="s">
        <v>65</v>
      </c>
      <c r="F110" s="38" t="s">
        <v>70</v>
      </c>
      <c r="G110" s="38" t="s">
        <v>71</v>
      </c>
      <c r="H110" s="38" t="s">
        <v>72</v>
      </c>
      <c r="I110" s="38" t="s">
        <v>74</v>
      </c>
      <c r="J110" s="38" t="s">
        <v>74</v>
      </c>
      <c r="K110" s="38" t="s">
        <v>74</v>
      </c>
      <c r="L110" s="38" t="s">
        <v>74</v>
      </c>
      <c r="M110" t="s">
        <v>69</v>
      </c>
    </row>
    <row r="111" spans="2:16" x14ac:dyDescent="0.25">
      <c r="B111" s="34" t="s">
        <v>60</v>
      </c>
      <c r="C111" s="20">
        <v>0</v>
      </c>
      <c r="D111" s="20">
        <v>0</v>
      </c>
      <c r="E111" s="20">
        <v>3</v>
      </c>
      <c r="F111" s="20">
        <v>6</v>
      </c>
      <c r="G111" s="20">
        <v>8</v>
      </c>
      <c r="H111" s="20">
        <v>9</v>
      </c>
      <c r="I111" s="20">
        <v>9</v>
      </c>
      <c r="J111" s="20">
        <v>9</v>
      </c>
      <c r="K111" s="20">
        <v>9</v>
      </c>
      <c r="L111" s="20">
        <v>9</v>
      </c>
      <c r="M111" t="s">
        <v>73</v>
      </c>
    </row>
    <row r="118" spans="2:15" x14ac:dyDescent="0.25">
      <c r="D118" s="8" t="s">
        <v>75</v>
      </c>
      <c r="E118" s="8"/>
      <c r="F118" s="8"/>
      <c r="G118" s="8"/>
      <c r="H118" s="8"/>
      <c r="I118" s="8"/>
      <c r="J118" s="8"/>
      <c r="K118" s="8"/>
      <c r="L118" s="8"/>
      <c r="M118" s="8"/>
    </row>
    <row r="119" spans="2:15" ht="22.5" x14ac:dyDescent="0.25">
      <c r="D119" s="39">
        <v>4</v>
      </c>
      <c r="E119" s="39">
        <v>3</v>
      </c>
      <c r="F119" s="39">
        <v>1</v>
      </c>
      <c r="G119" s="39">
        <v>0</v>
      </c>
      <c r="H119" s="39">
        <v>2</v>
      </c>
    </row>
    <row r="120" spans="2:15" ht="22.5" x14ac:dyDescent="0.25">
      <c r="D120" s="39">
        <v>1</v>
      </c>
      <c r="E120" s="39">
        <v>2</v>
      </c>
      <c r="F120" s="39">
        <v>8</v>
      </c>
      <c r="G120" s="39">
        <v>9</v>
      </c>
      <c r="H120" s="39">
        <v>8</v>
      </c>
    </row>
    <row r="121" spans="2:15" ht="22.5" x14ac:dyDescent="0.25">
      <c r="D121" s="39">
        <v>1</v>
      </c>
      <c r="E121" s="39">
        <v>6</v>
      </c>
      <c r="F121" s="39">
        <v>5</v>
      </c>
      <c r="G121" s="39">
        <v>0</v>
      </c>
      <c r="H121" s="39">
        <v>2</v>
      </c>
    </row>
    <row r="122" spans="2:15" ht="22.5" x14ac:dyDescent="0.25">
      <c r="D122" s="39">
        <v>3</v>
      </c>
      <c r="E122" s="39">
        <v>3</v>
      </c>
      <c r="F122" s="39">
        <v>4</v>
      </c>
      <c r="G122" s="39">
        <v>8</v>
      </c>
      <c r="H122" s="39">
        <v>7</v>
      </c>
    </row>
    <row r="123" spans="2:15" ht="22.5" x14ac:dyDescent="0.25">
      <c r="D123" s="39">
        <v>1</v>
      </c>
      <c r="E123" s="39">
        <v>0</v>
      </c>
      <c r="F123" s="39">
        <v>4</v>
      </c>
      <c r="G123" s="39">
        <v>6</v>
      </c>
      <c r="H123" s="39">
        <v>5</v>
      </c>
      <c r="J123" t="s">
        <v>95</v>
      </c>
    </row>
    <row r="125" spans="2:15" x14ac:dyDescent="0.25">
      <c r="B125" s="33" t="s">
        <v>56</v>
      </c>
      <c r="C125" s="33">
        <v>0</v>
      </c>
      <c r="D125" s="33">
        <v>1</v>
      </c>
      <c r="E125" s="33">
        <v>2</v>
      </c>
      <c r="F125" s="33">
        <v>3</v>
      </c>
      <c r="G125" s="33">
        <v>4</v>
      </c>
      <c r="H125" s="33">
        <v>5</v>
      </c>
      <c r="I125" s="33">
        <v>6</v>
      </c>
      <c r="J125" s="33">
        <v>7</v>
      </c>
      <c r="K125" s="33">
        <v>8</v>
      </c>
      <c r="L125" s="33">
        <v>9</v>
      </c>
    </row>
    <row r="126" spans="2:15" x14ac:dyDescent="0.25">
      <c r="B126" s="34" t="s">
        <v>57</v>
      </c>
      <c r="C126" s="20">
        <v>3</v>
      </c>
      <c r="D126" s="20">
        <v>4</v>
      </c>
      <c r="E126" s="40">
        <v>3</v>
      </c>
      <c r="F126" s="40">
        <v>3</v>
      </c>
      <c r="G126" s="40">
        <v>3</v>
      </c>
      <c r="H126" s="40">
        <v>2</v>
      </c>
      <c r="I126" s="20">
        <v>2</v>
      </c>
      <c r="J126" s="20">
        <v>1</v>
      </c>
      <c r="K126" s="20">
        <v>3</v>
      </c>
      <c r="L126" s="20">
        <v>1</v>
      </c>
      <c r="M126" t="s">
        <v>76</v>
      </c>
    </row>
    <row r="127" spans="2:15" x14ac:dyDescent="0.25">
      <c r="B127" s="34" t="s">
        <v>58</v>
      </c>
      <c r="C127" s="38" t="s">
        <v>81</v>
      </c>
      <c r="D127" s="38" t="s">
        <v>82</v>
      </c>
      <c r="E127" s="38" t="s">
        <v>81</v>
      </c>
      <c r="F127" s="38" t="s">
        <v>81</v>
      </c>
      <c r="G127" s="38" t="s">
        <v>81</v>
      </c>
      <c r="H127" s="38" t="s">
        <v>83</v>
      </c>
      <c r="I127" s="38" t="s">
        <v>83</v>
      </c>
      <c r="J127" s="38" t="s">
        <v>84</v>
      </c>
      <c r="K127" s="38" t="s">
        <v>81</v>
      </c>
      <c r="L127" s="38" t="s">
        <v>84</v>
      </c>
      <c r="M127" t="s">
        <v>78</v>
      </c>
      <c r="O127" s="8" t="s">
        <v>77</v>
      </c>
    </row>
    <row r="128" spans="2:15" x14ac:dyDescent="0.25">
      <c r="B128" s="34" t="s">
        <v>59</v>
      </c>
      <c r="C128" s="38" t="s">
        <v>81</v>
      </c>
      <c r="D128" s="38" t="s">
        <v>85</v>
      </c>
      <c r="E128" s="38" t="s">
        <v>86</v>
      </c>
      <c r="F128" s="38" t="s">
        <v>87</v>
      </c>
      <c r="G128" s="38" t="s">
        <v>88</v>
      </c>
      <c r="H128" s="38" t="s">
        <v>89</v>
      </c>
      <c r="I128" s="38" t="s">
        <v>90</v>
      </c>
      <c r="J128" s="38" t="s">
        <v>91</v>
      </c>
      <c r="K128" s="38" t="s">
        <v>92</v>
      </c>
      <c r="L128" s="38" t="s">
        <v>93</v>
      </c>
      <c r="M128" t="s">
        <v>79</v>
      </c>
    </row>
    <row r="129" spans="2:19" x14ac:dyDescent="0.25">
      <c r="B129" s="34" t="s">
        <v>60</v>
      </c>
      <c r="C129" s="20">
        <v>1</v>
      </c>
      <c r="D129" s="20">
        <v>3</v>
      </c>
      <c r="E129" s="20">
        <v>4</v>
      </c>
      <c r="F129" s="20">
        <v>5</v>
      </c>
      <c r="G129" s="20">
        <v>6</v>
      </c>
      <c r="H129" s="20">
        <v>6</v>
      </c>
      <c r="I129" s="20">
        <v>7</v>
      </c>
      <c r="J129" s="20">
        <v>8</v>
      </c>
      <c r="K129" s="20">
        <v>9</v>
      </c>
      <c r="L129" s="20">
        <v>9</v>
      </c>
      <c r="M129" t="s">
        <v>80</v>
      </c>
      <c r="O129" t="s">
        <v>94</v>
      </c>
    </row>
    <row r="135" spans="2:19" ht="22.5" x14ac:dyDescent="0.3">
      <c r="B135" s="52"/>
      <c r="C135" s="52" t="s">
        <v>116</v>
      </c>
      <c r="D135" s="52"/>
      <c r="E135" s="52"/>
    </row>
    <row r="136" spans="2:19" ht="25.5" x14ac:dyDescent="0.35">
      <c r="C136" s="53" t="s">
        <v>96</v>
      </c>
      <c r="D136" s="53"/>
      <c r="E136" s="53"/>
      <c r="F136" s="53"/>
      <c r="G136" s="53"/>
    </row>
    <row r="137" spans="2:19" x14ac:dyDescent="0.25">
      <c r="C137" s="46">
        <v>62</v>
      </c>
      <c r="D137" s="46">
        <v>68</v>
      </c>
      <c r="E137" s="46">
        <v>97</v>
      </c>
      <c r="F137" s="42">
        <v>145</v>
      </c>
      <c r="G137" s="42">
        <v>148</v>
      </c>
      <c r="H137" s="42">
        <v>175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</row>
    <row r="138" spans="2:19" x14ac:dyDescent="0.25">
      <c r="C138" s="46">
        <v>66</v>
      </c>
      <c r="D138" s="46">
        <v>70</v>
      </c>
      <c r="E138" s="46">
        <v>95</v>
      </c>
      <c r="F138" s="42">
        <v>142</v>
      </c>
      <c r="G138" s="42">
        <v>146</v>
      </c>
      <c r="H138" s="42">
        <v>176</v>
      </c>
      <c r="J138" s="42">
        <v>0</v>
      </c>
      <c r="K138" s="42">
        <v>1</v>
      </c>
      <c r="L138" s="42">
        <v>0</v>
      </c>
      <c r="N138" s="47">
        <v>0</v>
      </c>
      <c r="O138" s="48">
        <f>(62*0)+(1*68)+(0*97)+(1*66)+((-4)*70)+(1*95)+(0*66)+(1*68)+(0*90)</f>
        <v>17</v>
      </c>
      <c r="P138" s="48">
        <f>(68*0)+(1*97)+(0*145)+(1*70)+((-4)*95)+(1*142)+(0*68)+(1*90)+(0*135)</f>
        <v>19</v>
      </c>
      <c r="Q138" s="48">
        <f>(97*0)+(1*145)+(0*148)+(1*95)+((-4)*142)+(1*146)+(0*90)+(1*135)+(0*140)</f>
        <v>-47</v>
      </c>
      <c r="R138" s="48">
        <f>(145*0)+(1*148)+(0*175)+(1*142)+((-4)*146)+(1*176)+(0*135)+(1*140)+(0*172)</f>
        <v>22</v>
      </c>
      <c r="S138" s="47">
        <v>0</v>
      </c>
    </row>
    <row r="139" spans="2:19" ht="20.25" customHeight="1" x14ac:dyDescent="0.25">
      <c r="C139" s="46">
        <v>66</v>
      </c>
      <c r="D139" s="46">
        <v>68</v>
      </c>
      <c r="E139" s="46">
        <v>90</v>
      </c>
      <c r="F139" s="42">
        <v>135</v>
      </c>
      <c r="G139" s="42">
        <v>140</v>
      </c>
      <c r="H139" s="42">
        <v>172</v>
      </c>
      <c r="I139" s="44" t="s">
        <v>97</v>
      </c>
      <c r="J139" s="42">
        <v>1</v>
      </c>
      <c r="K139" s="42">
        <v>-4</v>
      </c>
      <c r="L139" s="42">
        <v>1</v>
      </c>
      <c r="M139" s="43" t="s">
        <v>100</v>
      </c>
      <c r="N139" s="47">
        <v>0</v>
      </c>
      <c r="O139" s="48">
        <f>(66*0)+(1*70)+(0*95)+(1*66)+((-4)*68)+(1*90)+(0*64)+(1*64)+(0*84)</f>
        <v>18</v>
      </c>
      <c r="P139" s="48">
        <f>(70*0)+(1*95)+(0*142)+(1*68)+((-4)*90)+(1*135)+(0*64)+(1*84)+(0*129)</f>
        <v>22</v>
      </c>
      <c r="Q139" s="48">
        <f>(95*0)+(1*142)+(0*146)+(1*90)+((-4)*135)+(1*140)+(0*84)+(1*129)+(0*134)</f>
        <v>-39</v>
      </c>
      <c r="R139" s="48">
        <v>27</v>
      </c>
      <c r="S139" s="47">
        <v>0</v>
      </c>
    </row>
    <row r="140" spans="2:19" x14ac:dyDescent="0.25">
      <c r="C140" s="42">
        <v>64</v>
      </c>
      <c r="D140" s="42">
        <v>64</v>
      </c>
      <c r="E140" s="42">
        <v>84</v>
      </c>
      <c r="F140" s="42">
        <v>129</v>
      </c>
      <c r="G140" s="42">
        <v>134</v>
      </c>
      <c r="H140" s="42">
        <v>168</v>
      </c>
      <c r="J140" s="42">
        <v>0</v>
      </c>
      <c r="K140" s="42">
        <v>1</v>
      </c>
      <c r="L140" s="42">
        <v>0</v>
      </c>
      <c r="N140" s="47">
        <v>0</v>
      </c>
      <c r="O140" s="48">
        <v>22</v>
      </c>
      <c r="P140" s="48">
        <v>35</v>
      </c>
      <c r="Q140" s="48">
        <v>-33</v>
      </c>
      <c r="R140" s="48">
        <v>29</v>
      </c>
      <c r="S140" s="47">
        <v>0</v>
      </c>
    </row>
    <row r="141" spans="2:19" x14ac:dyDescent="0.25">
      <c r="C141" s="42">
        <v>63</v>
      </c>
      <c r="D141" s="42">
        <v>62</v>
      </c>
      <c r="E141" s="42">
        <v>88</v>
      </c>
      <c r="F141" s="42">
        <v>130</v>
      </c>
      <c r="G141" s="42">
        <v>128</v>
      </c>
      <c r="H141" s="42">
        <v>166</v>
      </c>
      <c r="N141" s="47">
        <v>0</v>
      </c>
      <c r="O141" s="48">
        <v>27</v>
      </c>
      <c r="P141" s="48">
        <v>9</v>
      </c>
      <c r="Q141" s="48">
        <v>-48</v>
      </c>
      <c r="R141" s="48">
        <v>43</v>
      </c>
      <c r="S141" s="47">
        <v>0</v>
      </c>
    </row>
    <row r="142" spans="2:19" x14ac:dyDescent="0.25">
      <c r="C142" s="42">
        <v>62</v>
      </c>
      <c r="D142" s="42">
        <v>60</v>
      </c>
      <c r="E142" s="42">
        <v>85</v>
      </c>
      <c r="F142" s="42">
        <v>127</v>
      </c>
      <c r="G142" s="42">
        <v>125</v>
      </c>
      <c r="H142" s="42">
        <v>163</v>
      </c>
      <c r="K142" s="45" t="s">
        <v>99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</row>
    <row r="144" spans="2:19" x14ac:dyDescent="0.25">
      <c r="E144" s="45" t="s">
        <v>98</v>
      </c>
    </row>
    <row r="148" spans="2:19" ht="25.5" x14ac:dyDescent="0.35">
      <c r="B148" s="41"/>
      <c r="C148" s="41" t="s">
        <v>115</v>
      </c>
      <c r="D148" s="41"/>
    </row>
    <row r="150" spans="2:19" x14ac:dyDescent="0.25">
      <c r="C150" s="46">
        <v>62</v>
      </c>
      <c r="D150" s="46">
        <v>68</v>
      </c>
      <c r="E150" s="46">
        <v>97</v>
      </c>
      <c r="F150" s="42">
        <v>145</v>
      </c>
      <c r="G150" s="42">
        <v>148</v>
      </c>
      <c r="H150" s="42">
        <v>175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</row>
    <row r="151" spans="2:19" x14ac:dyDescent="0.25">
      <c r="C151" s="46">
        <v>66</v>
      </c>
      <c r="D151" s="46">
        <v>70</v>
      </c>
      <c r="E151" s="46">
        <v>95</v>
      </c>
      <c r="F151" s="42">
        <v>142</v>
      </c>
      <c r="G151" s="42">
        <v>146</v>
      </c>
      <c r="H151" s="42">
        <v>176</v>
      </c>
      <c r="J151" s="49" t="s">
        <v>101</v>
      </c>
      <c r="K151" s="49" t="s">
        <v>101</v>
      </c>
      <c r="L151" s="49" t="s">
        <v>101</v>
      </c>
      <c r="N151" s="47">
        <v>0</v>
      </c>
      <c r="O151" s="51">
        <f>(62*1/9)+(68*1/9)+(97*1/9)+(66*1/9)+(70*1/9)+(95*1/9)+(66*1/9)+(68*1/9)+(90*1/9)</f>
        <v>75.777777777777786</v>
      </c>
      <c r="P151" s="51">
        <f>(D150*1/9)+(E150*1/9)+(F150*1/9)+(D151*1/9)+(E151*1/9)+(F151*1/9)+(D152*1/9)+(E152*1/9)+(F152*1/9)</f>
        <v>101.11111111111111</v>
      </c>
      <c r="Q151" s="51" t="s">
        <v>117</v>
      </c>
      <c r="R151" s="51" t="s">
        <v>102</v>
      </c>
      <c r="S151" s="47">
        <v>0</v>
      </c>
    </row>
    <row r="152" spans="2:19" ht="20.25" customHeight="1" x14ac:dyDescent="0.25">
      <c r="C152" s="46">
        <v>66</v>
      </c>
      <c r="D152" s="46">
        <v>68</v>
      </c>
      <c r="E152" s="46">
        <v>90</v>
      </c>
      <c r="F152" s="42">
        <v>135</v>
      </c>
      <c r="G152" s="42">
        <v>140</v>
      </c>
      <c r="H152" s="42">
        <v>172</v>
      </c>
      <c r="I152" s="44" t="s">
        <v>97</v>
      </c>
      <c r="J152" s="49" t="s">
        <v>101</v>
      </c>
      <c r="K152" s="49" t="s">
        <v>101</v>
      </c>
      <c r="L152" s="49" t="s">
        <v>101</v>
      </c>
      <c r="M152" s="43" t="s">
        <v>100</v>
      </c>
      <c r="N152" s="47">
        <v>0</v>
      </c>
      <c r="O152" s="51" t="s">
        <v>103</v>
      </c>
      <c r="P152" s="51" t="s">
        <v>104</v>
      </c>
      <c r="Q152" s="51" t="s">
        <v>105</v>
      </c>
      <c r="R152" s="51" t="s">
        <v>106</v>
      </c>
      <c r="S152" s="47">
        <v>0</v>
      </c>
    </row>
    <row r="153" spans="2:19" x14ac:dyDescent="0.25">
      <c r="C153" s="42">
        <v>64</v>
      </c>
      <c r="D153" s="42">
        <v>64</v>
      </c>
      <c r="E153" s="42">
        <v>84</v>
      </c>
      <c r="F153" s="42">
        <v>129</v>
      </c>
      <c r="G153" s="42">
        <v>134</v>
      </c>
      <c r="H153" s="42">
        <v>168</v>
      </c>
      <c r="J153" s="49" t="s">
        <v>101</v>
      </c>
      <c r="K153" s="49" t="s">
        <v>101</v>
      </c>
      <c r="L153" s="49" t="s">
        <v>101</v>
      </c>
      <c r="N153" s="47">
        <v>0</v>
      </c>
      <c r="O153" s="51" t="s">
        <v>107</v>
      </c>
      <c r="P153" s="51" t="s">
        <v>108</v>
      </c>
      <c r="Q153" s="51" t="s">
        <v>109</v>
      </c>
      <c r="R153" s="51" t="s">
        <v>110</v>
      </c>
      <c r="S153" s="47">
        <v>0</v>
      </c>
    </row>
    <row r="154" spans="2:19" x14ac:dyDescent="0.25">
      <c r="C154" s="42">
        <v>63</v>
      </c>
      <c r="D154" s="42">
        <v>62</v>
      </c>
      <c r="E154" s="42">
        <v>88</v>
      </c>
      <c r="F154" s="42">
        <v>130</v>
      </c>
      <c r="G154" s="42">
        <v>128</v>
      </c>
      <c r="H154" s="42">
        <v>166</v>
      </c>
      <c r="K154" s="50" t="s">
        <v>99</v>
      </c>
      <c r="N154" s="47">
        <v>0</v>
      </c>
      <c r="O154" s="51" t="s">
        <v>111</v>
      </c>
      <c r="P154" s="51" t="s">
        <v>112</v>
      </c>
      <c r="Q154" s="51" t="s">
        <v>113</v>
      </c>
      <c r="R154" s="51" t="s">
        <v>114</v>
      </c>
      <c r="S154" s="47">
        <v>0</v>
      </c>
    </row>
    <row r="155" spans="2:19" x14ac:dyDescent="0.25">
      <c r="C155" s="42">
        <v>62</v>
      </c>
      <c r="D155" s="42">
        <v>60</v>
      </c>
      <c r="E155" s="42">
        <v>85</v>
      </c>
      <c r="F155" s="42">
        <v>127</v>
      </c>
      <c r="G155" s="42">
        <v>125</v>
      </c>
      <c r="H155" s="42">
        <v>163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</row>
    <row r="156" spans="2:19" x14ac:dyDescent="0.25">
      <c r="E156" s="43" t="s">
        <v>98</v>
      </c>
    </row>
    <row r="158" spans="2:19" x14ac:dyDescent="0.25">
      <c r="C158" s="42">
        <v>65</v>
      </c>
      <c r="D158" s="42">
        <v>71</v>
      </c>
      <c r="E158" s="42">
        <v>167</v>
      </c>
      <c r="F158" s="42">
        <v>148</v>
      </c>
      <c r="G158" s="42">
        <v>151</v>
      </c>
      <c r="H158" s="42">
        <v>178</v>
      </c>
    </row>
    <row r="159" spans="2:19" x14ac:dyDescent="0.25">
      <c r="C159" s="42">
        <v>69</v>
      </c>
      <c r="D159" s="42">
        <v>89</v>
      </c>
      <c r="E159" s="42">
        <v>158</v>
      </c>
      <c r="F159" s="42">
        <v>145</v>
      </c>
      <c r="G159" s="42">
        <v>149</v>
      </c>
      <c r="H159" s="42">
        <v>179</v>
      </c>
      <c r="J159" s="42">
        <v>0</v>
      </c>
      <c r="K159" s="42">
        <v>1</v>
      </c>
      <c r="L159" s="42">
        <v>0</v>
      </c>
      <c r="N159" s="42">
        <v>-1</v>
      </c>
      <c r="O159" s="42">
        <v>0</v>
      </c>
      <c r="P159" s="42">
        <v>1</v>
      </c>
    </row>
    <row r="160" spans="2:19" x14ac:dyDescent="0.25">
      <c r="C160" s="42">
        <v>169</v>
      </c>
      <c r="D160" s="42">
        <v>160</v>
      </c>
      <c r="E160" s="42">
        <v>163</v>
      </c>
      <c r="F160" s="42">
        <v>140</v>
      </c>
      <c r="G160" s="42">
        <v>78</v>
      </c>
      <c r="H160" s="42">
        <v>75</v>
      </c>
      <c r="J160" s="42">
        <v>1</v>
      </c>
      <c r="K160" s="42">
        <v>-4</v>
      </c>
      <c r="L160" s="42">
        <v>1</v>
      </c>
      <c r="N160" s="42">
        <v>-2</v>
      </c>
      <c r="O160" s="42">
        <v>0</v>
      </c>
      <c r="P160" s="42">
        <v>2</v>
      </c>
    </row>
    <row r="161" spans="3:16" x14ac:dyDescent="0.25">
      <c r="C161" s="42">
        <v>167</v>
      </c>
      <c r="D161" s="42">
        <v>161</v>
      </c>
      <c r="E161" s="42">
        <v>178</v>
      </c>
      <c r="F161" s="42">
        <v>143</v>
      </c>
      <c r="G161" s="42">
        <v>80</v>
      </c>
      <c r="H161" s="42">
        <v>71</v>
      </c>
      <c r="J161" s="42">
        <v>0</v>
      </c>
      <c r="K161" s="42">
        <v>1</v>
      </c>
      <c r="L161" s="42">
        <v>0</v>
      </c>
      <c r="N161" s="42">
        <v>-1</v>
      </c>
      <c r="O161" s="42">
        <v>0</v>
      </c>
      <c r="P161" s="42">
        <v>1</v>
      </c>
    </row>
    <row r="162" spans="3:16" x14ac:dyDescent="0.25">
      <c r="C162" s="42">
        <v>55</v>
      </c>
      <c r="D162" s="42">
        <v>79</v>
      </c>
      <c r="E162" s="42">
        <v>179</v>
      </c>
      <c r="F162" s="42">
        <v>133</v>
      </c>
      <c r="G162" s="42">
        <v>131</v>
      </c>
      <c r="H162" s="42">
        <v>169</v>
      </c>
    </row>
    <row r="163" spans="3:16" x14ac:dyDescent="0.25">
      <c r="C163" s="42">
        <v>98</v>
      </c>
      <c r="D163" s="42">
        <v>80</v>
      </c>
      <c r="E163" s="42">
        <v>175</v>
      </c>
      <c r="F163" s="42">
        <v>130</v>
      </c>
      <c r="G163" s="42">
        <v>128</v>
      </c>
      <c r="H163" s="42">
        <v>166</v>
      </c>
      <c r="K163" s="8" t="s">
        <v>119</v>
      </c>
      <c r="O163" s="8" t="s">
        <v>120</v>
      </c>
    </row>
    <row r="165" spans="3:16" x14ac:dyDescent="0.25">
      <c r="E165" s="8" t="s">
        <v>118</v>
      </c>
    </row>
    <row r="166" spans="3:16" x14ac:dyDescent="0.25">
      <c r="J166" s="1">
        <f>C158*J159+D158*K159+E158*L159+C159*J160+D159*K160+E159*L160+C160*J161+D160*K161+E160*L161</f>
        <v>102</v>
      </c>
      <c r="K166" s="1"/>
      <c r="L166" s="1"/>
      <c r="M166" s="1"/>
    </row>
    <row r="167" spans="3:16" x14ac:dyDescent="0.25">
      <c r="J167" s="1"/>
      <c r="K167" s="1"/>
      <c r="L167" s="1"/>
      <c r="M167" s="1"/>
    </row>
    <row r="168" spans="3:16" x14ac:dyDescent="0.25">
      <c r="J168" s="1"/>
      <c r="K168" s="1"/>
      <c r="L168" s="1"/>
      <c r="M168" s="1"/>
    </row>
    <row r="169" spans="3:16" x14ac:dyDescent="0.25">
      <c r="J169" s="1"/>
      <c r="K169" s="1"/>
      <c r="L169" s="1"/>
      <c r="M169" s="1"/>
    </row>
    <row r="172" spans="3:16" x14ac:dyDescent="0.25">
      <c r="H172" s="56"/>
      <c r="I172" s="56"/>
      <c r="J172" s="56"/>
      <c r="K172" s="56"/>
      <c r="L172" s="57"/>
    </row>
    <row r="173" spans="3:16" x14ac:dyDescent="0.25">
      <c r="H173" s="55">
        <v>102</v>
      </c>
      <c r="I173" s="55">
        <v>-68</v>
      </c>
      <c r="J173" s="55">
        <v>15</v>
      </c>
      <c r="K173" s="55">
        <v>-43</v>
      </c>
      <c r="M173" s="54"/>
      <c r="N173" s="54"/>
      <c r="O173" s="54"/>
      <c r="P173" s="54"/>
    </row>
    <row r="174" spans="3:16" x14ac:dyDescent="0.25">
      <c r="H174" s="55">
        <v>-58</v>
      </c>
      <c r="I174" s="55">
        <v>-16</v>
      </c>
      <c r="J174" s="55">
        <v>-31</v>
      </c>
      <c r="K174" s="55">
        <v>132</v>
      </c>
      <c r="M174" s="55">
        <v>-274</v>
      </c>
      <c r="N174" s="55">
        <v>-169</v>
      </c>
      <c r="O174" s="55">
        <v>119</v>
      </c>
      <c r="P174" s="55">
        <v>-33</v>
      </c>
    </row>
    <row r="175" spans="3:16" x14ac:dyDescent="0.25">
      <c r="H175" s="55">
        <v>-60</v>
      </c>
      <c r="I175" s="55">
        <v>-66</v>
      </c>
      <c r="J175" s="55">
        <v>-41</v>
      </c>
      <c r="K175" s="55">
        <v>103</v>
      </c>
      <c r="M175" s="55">
        <v>-88</v>
      </c>
      <c r="N175" s="55">
        <v>2</v>
      </c>
      <c r="O175" s="55">
        <v>277</v>
      </c>
      <c r="P175" s="55">
        <v>168</v>
      </c>
    </row>
    <row r="176" spans="3:16" x14ac:dyDescent="0.25">
      <c r="H176" s="55">
        <v>159</v>
      </c>
      <c r="I176" s="55">
        <v>-151</v>
      </c>
      <c r="J176" s="55">
        <v>51</v>
      </c>
      <c r="K176" s="55">
        <v>-14</v>
      </c>
      <c r="M176" s="55">
        <v>-140</v>
      </c>
      <c r="N176" s="55">
        <v>2</v>
      </c>
      <c r="O176" s="55">
        <v>329</v>
      </c>
      <c r="P176" s="55">
        <v>173</v>
      </c>
    </row>
    <row r="177" spans="2:16" x14ac:dyDescent="0.25">
      <c r="I177" t="s">
        <v>119</v>
      </c>
      <c r="M177" s="55">
        <v>-336</v>
      </c>
      <c r="N177" s="55">
        <v>-140</v>
      </c>
      <c r="O177" s="55">
        <v>241</v>
      </c>
      <c r="P177" s="55">
        <v>-36</v>
      </c>
    </row>
    <row r="178" spans="2:16" x14ac:dyDescent="0.25">
      <c r="O178" t="s">
        <v>120</v>
      </c>
    </row>
    <row r="182" spans="2:16" x14ac:dyDescent="0.25">
      <c r="B182" t="s">
        <v>121</v>
      </c>
      <c r="C182" t="s">
        <v>122</v>
      </c>
    </row>
    <row r="183" spans="2:16" x14ac:dyDescent="0.25">
      <c r="C183" s="58">
        <v>1</v>
      </c>
      <c r="D183" s="58">
        <v>0</v>
      </c>
      <c r="E183" s="58">
        <v>2</v>
      </c>
      <c r="F183" s="58">
        <v>3</v>
      </c>
      <c r="G183" s="58">
        <v>6</v>
      </c>
      <c r="H183" s="58">
        <v>1</v>
      </c>
    </row>
    <row r="184" spans="2:16" x14ac:dyDescent="0.25">
      <c r="C184" s="58">
        <v>7</v>
      </c>
      <c r="D184" s="58">
        <v>4</v>
      </c>
      <c r="E184" s="58">
        <v>2</v>
      </c>
      <c r="F184" s="58">
        <v>1</v>
      </c>
      <c r="G184" s="58">
        <v>3</v>
      </c>
      <c r="H184" s="58">
        <v>4</v>
      </c>
    </row>
    <row r="185" spans="2:16" x14ac:dyDescent="0.25">
      <c r="C185" s="58">
        <v>6</v>
      </c>
      <c r="D185" s="58">
        <v>0</v>
      </c>
      <c r="E185" s="58">
        <v>1</v>
      </c>
      <c r="F185" s="58">
        <v>4</v>
      </c>
      <c r="G185" s="58">
        <v>5</v>
      </c>
      <c r="H185" s="58">
        <v>2</v>
      </c>
    </row>
    <row r="186" spans="2:16" x14ac:dyDescent="0.25">
      <c r="C186" s="58">
        <v>0</v>
      </c>
      <c r="D186" s="58">
        <v>1</v>
      </c>
      <c r="E186" s="58">
        <v>5</v>
      </c>
      <c r="F186" s="58">
        <v>4</v>
      </c>
      <c r="G186" s="58">
        <v>4</v>
      </c>
      <c r="H186" s="58">
        <v>3</v>
      </c>
    </row>
    <row r="187" spans="2:16" x14ac:dyDescent="0.25">
      <c r="C187" s="58">
        <v>2</v>
      </c>
      <c r="D187" s="58">
        <v>3</v>
      </c>
      <c r="E187" s="58">
        <v>5</v>
      </c>
      <c r="F187" s="58">
        <v>2</v>
      </c>
      <c r="G187" s="58">
        <v>0</v>
      </c>
      <c r="H187" s="58">
        <v>5</v>
      </c>
    </row>
    <row r="188" spans="2:16" x14ac:dyDescent="0.25">
      <c r="C188" s="58">
        <v>1</v>
      </c>
      <c r="D188" s="58">
        <v>6</v>
      </c>
      <c r="E188" s="58">
        <v>4</v>
      </c>
      <c r="F188" s="58">
        <v>7</v>
      </c>
      <c r="G188" s="58">
        <v>4</v>
      </c>
      <c r="H188" s="58">
        <v>7</v>
      </c>
    </row>
    <row r="189" spans="2:16" x14ac:dyDescent="0.25">
      <c r="E189" t="s">
        <v>124</v>
      </c>
    </row>
    <row r="190" spans="2:16" x14ac:dyDescent="0.25">
      <c r="C190" t="s">
        <v>123</v>
      </c>
    </row>
  </sheetData>
  <mergeCells count="1">
    <mergeCell ref="C136:G136"/>
  </mergeCells>
  <phoneticPr fontId="12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611F-C128-4E9A-8389-8C0A3E40786B}">
  <sheetPr codeName="Sheet2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96A1-AA6D-42D2-982E-AD6DE13EB964}">
  <sheetPr codeName="Sheet3"/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Vĩnh</dc:creator>
  <cp:lastModifiedBy>Đinh Vĩnh</cp:lastModifiedBy>
  <dcterms:created xsi:type="dcterms:W3CDTF">2025-03-25T06:57:36Z</dcterms:created>
  <dcterms:modified xsi:type="dcterms:W3CDTF">2025-05-20T09:12:52Z</dcterms:modified>
</cp:coreProperties>
</file>